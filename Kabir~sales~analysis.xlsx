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Assignments\data\"/>
    </mc:Choice>
  </mc:AlternateContent>
  <xr:revisionPtr revIDLastSave="0" documentId="13_ncr:1_{6B68812D-911D-4717-961D-F7E7515263F9}" xr6:coauthVersionLast="47" xr6:coauthVersionMax="47" xr10:uidLastSave="{00000000-0000-0000-0000-000000000000}"/>
  <bookViews>
    <workbookView xWindow="-120" yWindow="-120" windowWidth="20730" windowHeight="11040" xr2:uid="{58319F2D-B6F5-4286-8B39-038EE88C7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Y5" i="1"/>
  <c r="Y4" i="1"/>
  <c r="C26" i="1"/>
  <c r="C25" i="1"/>
  <c r="C24" i="1"/>
  <c r="C23" i="1"/>
  <c r="C22" i="1"/>
  <c r="J21" i="1"/>
  <c r="I21" i="1"/>
  <c r="C21" i="1"/>
  <c r="O20" i="1"/>
  <c r="N20" i="1"/>
  <c r="J20" i="1"/>
  <c r="I20" i="1"/>
  <c r="C20" i="1"/>
  <c r="U19" i="1"/>
  <c r="O19" i="1"/>
  <c r="N19" i="1"/>
  <c r="J19" i="1"/>
  <c r="I19" i="1"/>
  <c r="C19" i="1"/>
  <c r="O18" i="1"/>
  <c r="N18" i="1"/>
  <c r="J18" i="1"/>
  <c r="I18" i="1"/>
  <c r="C18" i="1"/>
  <c r="O17" i="1"/>
  <c r="N17" i="1"/>
  <c r="J17" i="1"/>
  <c r="I17" i="1"/>
  <c r="C17" i="1"/>
  <c r="O16" i="1"/>
  <c r="N16" i="1"/>
  <c r="J16" i="1"/>
  <c r="I16" i="1"/>
  <c r="C16" i="1"/>
  <c r="C15" i="1"/>
  <c r="C14" i="1"/>
  <c r="C13" i="1"/>
  <c r="C12" i="1"/>
  <c r="U20" i="1" s="1"/>
  <c r="C11" i="1"/>
  <c r="C10" i="1"/>
  <c r="C9" i="1"/>
  <c r="P8" i="1"/>
  <c r="K8" i="1"/>
  <c r="C8" i="1"/>
  <c r="T20" i="1" s="1"/>
  <c r="P7" i="1"/>
  <c r="I7" i="1"/>
  <c r="C7" i="1"/>
  <c r="S21" i="1" s="1"/>
  <c r="P6" i="1"/>
  <c r="C6" i="1"/>
  <c r="T19" i="1" s="1"/>
  <c r="P5" i="1"/>
  <c r="C5" i="1"/>
  <c r="T17" i="1" s="1"/>
  <c r="P4" i="1"/>
  <c r="C4" i="1"/>
  <c r="I9" i="1" s="1"/>
  <c r="C3" i="1"/>
  <c r="T18" i="1" s="1"/>
  <c r="J6" i="1" l="1"/>
  <c r="J9" i="1"/>
  <c r="U17" i="1"/>
  <c r="U18" i="1"/>
  <c r="I5" i="1"/>
  <c r="T5" i="1"/>
  <c r="K6" i="1"/>
  <c r="K9" i="1"/>
  <c r="T21" i="1"/>
  <c r="J5" i="1"/>
  <c r="J7" i="1"/>
  <c r="I8" i="1"/>
  <c r="S17" i="1"/>
  <c r="S18" i="1"/>
  <c r="S19" i="1"/>
  <c r="S20" i="1"/>
  <c r="U21" i="1"/>
  <c r="T4" i="1"/>
  <c r="K5" i="1"/>
  <c r="I6" i="1"/>
  <c r="T6" i="1"/>
  <c r="K7" i="1"/>
  <c r="J8" i="1"/>
</calcChain>
</file>

<file path=xl/sharedStrings.xml><?xml version="1.0" encoding="utf-8"?>
<sst xmlns="http://schemas.openxmlformats.org/spreadsheetml/2006/main" count="74" uniqueCount="28">
  <si>
    <t>Yearly Sales Report</t>
  </si>
  <si>
    <t>S/N</t>
  </si>
  <si>
    <t>Date</t>
  </si>
  <si>
    <t>Year</t>
  </si>
  <si>
    <t>Sales Rep</t>
  </si>
  <si>
    <t>Quantity Sold</t>
  </si>
  <si>
    <t>Amount</t>
  </si>
  <si>
    <t>Sum of Quantity by Years</t>
  </si>
  <si>
    <t>Ayo</t>
  </si>
  <si>
    <t>Sum of Sales by Years</t>
  </si>
  <si>
    <t>Condition</t>
  </si>
  <si>
    <t>Quantity</t>
  </si>
  <si>
    <t>Tola</t>
  </si>
  <si>
    <t>COUNTIF</t>
  </si>
  <si>
    <t>Abdul</t>
  </si>
  <si>
    <t>Ada</t>
  </si>
  <si>
    <t>Ese</t>
  </si>
  <si>
    <t>FUNCTIONS</t>
  </si>
  <si>
    <t>Quantity Sold by Years</t>
  </si>
  <si>
    <t>SUM</t>
  </si>
  <si>
    <t>SUMIF</t>
  </si>
  <si>
    <t>MINIMUM</t>
  </si>
  <si>
    <t>MAXIMUM</t>
  </si>
  <si>
    <t>AVERAGE</t>
  </si>
  <si>
    <t>COUNT</t>
  </si>
  <si>
    <t>COUNTA</t>
  </si>
  <si>
    <t>Years</t>
  </si>
  <si>
    <t>Average of Quantity Sold per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</si>
</sst>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0" xfId="0" applyNumberFormat="1"/>
    <xf numFmtId="0" fontId="0" fillId="0" borderId="1" xfId="0" applyBorder="1"/>
    <xf numFmtId="0" fontId="0" fillId="0" borderId="10" xfId="0" applyBorder="1"/>
    <xf numFmtId="0" fontId="0" fillId="0" borderId="11" xfId="0" applyBorder="1"/>
    <xf numFmtId="43" fontId="1" fillId="0" borderId="12" xfId="1" applyFont="1" applyFill="1" applyBorder="1" applyAlignment="1"/>
    <xf numFmtId="0" fontId="0" fillId="0" borderId="15" xfId="0" applyBorder="1"/>
    <xf numFmtId="0" fontId="0" fillId="0" borderId="16" xfId="0" applyBorder="1"/>
    <xf numFmtId="0" fontId="3" fillId="3" borderId="12" xfId="0" applyFont="1" applyFill="1" applyBorder="1"/>
    <xf numFmtId="0" fontId="3" fillId="3" borderId="1" xfId="0" applyFont="1" applyFill="1" applyBorder="1"/>
    <xf numFmtId="0" fontId="3" fillId="3" borderId="10" xfId="0" applyFont="1" applyFill="1" applyBorder="1"/>
    <xf numFmtId="0" fontId="0" fillId="0" borderId="12" xfId="0" applyBorder="1"/>
    <xf numFmtId="4" fontId="0" fillId="0" borderId="10" xfId="0" applyNumberFormat="1" applyBorder="1"/>
    <xf numFmtId="0" fontId="0" fillId="0" borderId="17" xfId="0" applyBorder="1"/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662C-5E68-4CE0-BD32-DE1101F19C75}">
  <dimension ref="A1:AA26"/>
  <sheetViews>
    <sheetView tabSelected="1" topLeftCell="I2" workbookViewId="0">
      <selection activeCell="S12" sqref="S12"/>
    </sheetView>
  </sheetViews>
  <sheetFormatPr defaultRowHeight="15" x14ac:dyDescent="0.25"/>
  <cols>
    <col min="9" max="9" width="12" customWidth="1"/>
    <col min="10" max="10" width="12.5703125" customWidth="1"/>
    <col min="11" max="11" width="11.28515625" customWidth="1"/>
    <col min="25" max="25" width="14.7109375" customWidth="1"/>
  </cols>
  <sheetData>
    <row r="1" spans="1:27" ht="26.25" thickBot="1" x14ac:dyDescent="0.4">
      <c r="A1" s="29" t="s">
        <v>0</v>
      </c>
      <c r="B1" s="29"/>
      <c r="C1" s="29"/>
      <c r="D1" s="29"/>
      <c r="E1" s="29"/>
      <c r="F1" s="29"/>
    </row>
    <row r="2" spans="1:27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T2" s="30" t="s">
        <v>7</v>
      </c>
      <c r="U2" s="31"/>
      <c r="V2" s="32"/>
      <c r="Y2" s="30" t="s">
        <v>27</v>
      </c>
      <c r="Z2" s="31"/>
      <c r="AA2" s="32"/>
    </row>
    <row r="3" spans="1:27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8</v>
      </c>
      <c r="E3" s="2">
        <v>76</v>
      </c>
      <c r="F3" s="4">
        <v>16720</v>
      </c>
      <c r="G3" s="5"/>
      <c r="I3" s="30" t="s">
        <v>9</v>
      </c>
      <c r="J3" s="31"/>
      <c r="K3" s="32"/>
      <c r="N3" s="6"/>
      <c r="O3" s="7" t="s">
        <v>10</v>
      </c>
      <c r="P3" s="8" t="s">
        <v>11</v>
      </c>
      <c r="S3" s="9" t="s">
        <v>26</v>
      </c>
      <c r="T3" s="10"/>
      <c r="U3" s="11"/>
      <c r="V3" s="12"/>
      <c r="X3" s="9"/>
      <c r="Y3" s="10"/>
      <c r="Z3" s="11"/>
      <c r="AA3" s="12"/>
    </row>
    <row r="4" spans="1:27" x14ac:dyDescent="0.25">
      <c r="A4" s="2">
        <v>2</v>
      </c>
      <c r="B4" s="3">
        <v>40235</v>
      </c>
      <c r="C4" s="3" t="str">
        <f t="shared" si="0"/>
        <v>2010</v>
      </c>
      <c r="D4" s="2" t="s">
        <v>12</v>
      </c>
      <c r="E4" s="2">
        <v>59</v>
      </c>
      <c r="F4" s="4">
        <v>12980</v>
      </c>
      <c r="G4" s="13"/>
      <c r="H4" s="9" t="s">
        <v>4</v>
      </c>
      <c r="I4" s="10">
        <v>2010</v>
      </c>
      <c r="J4" s="11">
        <v>2011</v>
      </c>
      <c r="K4" s="12">
        <v>2012</v>
      </c>
      <c r="N4" s="26" t="s">
        <v>13</v>
      </c>
      <c r="O4" s="14" t="s">
        <v>14</v>
      </c>
      <c r="P4" s="15">
        <f>COUNTIF($D$3:$D$26,O4)</f>
        <v>6</v>
      </c>
      <c r="S4" s="16">
        <v>2010</v>
      </c>
      <c r="T4" s="17">
        <f>SUMIF($C$3:$C$26,S4,$E$3:$E$26)</f>
        <v>476</v>
      </c>
      <c r="U4" s="17"/>
      <c r="V4" s="17"/>
      <c r="X4" s="16">
        <v>2010</v>
      </c>
      <c r="Y4" s="17">
        <f>AVERAGEIF($C$3:$C$26,X4,$E$3:$E$26)</f>
        <v>52.888888888888886</v>
      </c>
      <c r="Z4" s="17"/>
      <c r="AA4" s="17"/>
    </row>
    <row r="5" spans="1:27" x14ac:dyDescent="0.25">
      <c r="A5" s="2">
        <v>3</v>
      </c>
      <c r="B5" s="3">
        <v>40249</v>
      </c>
      <c r="C5" s="3" t="str">
        <f t="shared" si="0"/>
        <v>2010</v>
      </c>
      <c r="D5" s="2" t="s">
        <v>14</v>
      </c>
      <c r="E5" s="2">
        <v>56</v>
      </c>
      <c r="F5" s="4">
        <v>12320</v>
      </c>
      <c r="H5" s="16" t="s">
        <v>14</v>
      </c>
      <c r="I5" s="17">
        <f>SUMIFS($F$3:$F$26,$D$3:$D$26,$H5,$C$3:$C$26,I$4)</f>
        <v>12320</v>
      </c>
      <c r="J5" s="17">
        <f t="shared" ref="J5:K9" si="1">SUMIFS($F$3:$F$26,$D$3:$D$26,$H5,$C$3:$C$26,J$4)</f>
        <v>23100</v>
      </c>
      <c r="K5" s="17">
        <f t="shared" si="1"/>
        <v>25520</v>
      </c>
      <c r="N5" s="27"/>
      <c r="O5" s="14" t="s">
        <v>8</v>
      </c>
      <c r="P5" s="15">
        <f t="shared" ref="P5:P8" si="2">COUNTIF($D$3:$D$26,O5)</f>
        <v>3</v>
      </c>
      <c r="S5" s="16">
        <v>2011</v>
      </c>
      <c r="T5" s="17">
        <f t="shared" ref="T5:T6" si="3">SUMIF($C$3:$C$26,S5,$E$3:$E$26)</f>
        <v>380</v>
      </c>
      <c r="U5" s="17"/>
      <c r="V5" s="17"/>
      <c r="X5" s="16">
        <v>2011</v>
      </c>
      <c r="Y5" s="17">
        <f>AVERAGEIF($C$3:$C$26,X5,$E$3:$E$26)</f>
        <v>63.333333333333336</v>
      </c>
      <c r="Z5" s="17"/>
      <c r="AA5" s="17"/>
    </row>
    <row r="6" spans="1:27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16" t="s">
        <v>8</v>
      </c>
      <c r="I6" s="17">
        <f t="shared" ref="I6:I9" si="4">SUMIFS($F$3:$F$26,$D$3:$D$26,$H6,$C$3:$C$26,I$4)</f>
        <v>16720</v>
      </c>
      <c r="J6" s="17">
        <f t="shared" si="1"/>
        <v>6160</v>
      </c>
      <c r="K6" s="17">
        <f t="shared" si="1"/>
        <v>7920</v>
      </c>
      <c r="N6" s="27"/>
      <c r="O6" s="14" t="s">
        <v>15</v>
      </c>
      <c r="P6" s="15">
        <f t="shared" si="2"/>
        <v>5</v>
      </c>
      <c r="S6" s="16">
        <v>2012</v>
      </c>
      <c r="T6" s="17">
        <f t="shared" si="3"/>
        <v>368</v>
      </c>
      <c r="U6" s="17"/>
      <c r="V6" s="17"/>
      <c r="X6" s="16">
        <v>2012</v>
      </c>
      <c r="Y6" s="17">
        <f>AVERAGEIF($C$3:$C$26,X6,$E$3:$E$26)</f>
        <v>40.888888888888886</v>
      </c>
      <c r="Z6" s="17"/>
      <c r="AA6" s="17"/>
    </row>
    <row r="7" spans="1:27" x14ac:dyDescent="0.25">
      <c r="A7" s="2">
        <v>5</v>
      </c>
      <c r="B7" s="3">
        <v>40418</v>
      </c>
      <c r="C7" s="3" t="str">
        <f t="shared" si="0"/>
        <v>2010</v>
      </c>
      <c r="D7" s="2" t="s">
        <v>12</v>
      </c>
      <c r="E7" s="2">
        <v>40</v>
      </c>
      <c r="F7" s="4">
        <v>8800</v>
      </c>
      <c r="H7" s="16" t="s">
        <v>15</v>
      </c>
      <c r="I7" s="17">
        <f t="shared" si="4"/>
        <v>26840</v>
      </c>
      <c r="J7" s="17">
        <f t="shared" si="1"/>
        <v>0</v>
      </c>
      <c r="K7" s="17">
        <f t="shared" si="1"/>
        <v>15840</v>
      </c>
      <c r="N7" s="27"/>
      <c r="O7" s="14" t="s">
        <v>16</v>
      </c>
      <c r="P7" s="15">
        <f t="shared" si="2"/>
        <v>3</v>
      </c>
    </row>
    <row r="8" spans="1:27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16</v>
      </c>
      <c r="E8" s="2">
        <v>90</v>
      </c>
      <c r="F8" s="4">
        <v>19800</v>
      </c>
      <c r="H8" s="16" t="s">
        <v>16</v>
      </c>
      <c r="I8" s="17">
        <f t="shared" si="4"/>
        <v>19800</v>
      </c>
      <c r="J8" s="17">
        <f t="shared" si="1"/>
        <v>20900</v>
      </c>
      <c r="K8" s="17">
        <f t="shared" si="1"/>
        <v>11440</v>
      </c>
      <c r="N8" s="28"/>
      <c r="O8" s="18" t="s">
        <v>12</v>
      </c>
      <c r="P8" s="15">
        <f t="shared" si="2"/>
        <v>7</v>
      </c>
    </row>
    <row r="9" spans="1:27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19" t="s">
        <v>12</v>
      </c>
      <c r="I9" s="17">
        <f t="shared" si="4"/>
        <v>29040</v>
      </c>
      <c r="J9" s="17">
        <f t="shared" si="1"/>
        <v>33440</v>
      </c>
      <c r="K9" s="17">
        <f t="shared" si="1"/>
        <v>20240</v>
      </c>
    </row>
    <row r="10" spans="1:27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I10" s="17"/>
    </row>
    <row r="11" spans="1:27" x14ac:dyDescent="0.25">
      <c r="A11" s="2">
        <v>9</v>
      </c>
      <c r="B11" s="3">
        <v>40505</v>
      </c>
      <c r="C11" s="3" t="str">
        <f t="shared" si="0"/>
        <v>2010</v>
      </c>
      <c r="D11" s="2" t="s">
        <v>12</v>
      </c>
      <c r="E11" s="2">
        <v>33</v>
      </c>
      <c r="F11" s="4">
        <v>7260</v>
      </c>
    </row>
    <row r="12" spans="1:27" x14ac:dyDescent="0.25">
      <c r="A12" s="2">
        <v>10</v>
      </c>
      <c r="B12" s="3">
        <v>40611</v>
      </c>
      <c r="C12" s="3" t="str">
        <f t="shared" si="0"/>
        <v>2011</v>
      </c>
      <c r="D12" s="2" t="s">
        <v>16</v>
      </c>
      <c r="E12" s="2">
        <v>95</v>
      </c>
      <c r="F12" s="4">
        <v>20900</v>
      </c>
    </row>
    <row r="13" spans="1:27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14</v>
      </c>
      <c r="E13" s="2">
        <v>57</v>
      </c>
      <c r="F13" s="4">
        <v>12540</v>
      </c>
    </row>
    <row r="14" spans="1:27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14</v>
      </c>
      <c r="E14" s="2">
        <v>48</v>
      </c>
      <c r="F14" s="4">
        <v>10560</v>
      </c>
      <c r="H14" s="33" t="s">
        <v>17</v>
      </c>
      <c r="I14" s="34"/>
      <c r="J14" s="35"/>
    </row>
    <row r="15" spans="1:27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12</v>
      </c>
      <c r="E15" s="2">
        <v>88</v>
      </c>
      <c r="F15" s="4">
        <v>19360</v>
      </c>
      <c r="H15" s="20"/>
      <c r="I15" s="21" t="s">
        <v>11</v>
      </c>
      <c r="J15" s="22" t="s">
        <v>6</v>
      </c>
      <c r="L15" s="6"/>
      <c r="M15" s="7" t="s">
        <v>10</v>
      </c>
      <c r="N15" s="7" t="s">
        <v>11</v>
      </c>
      <c r="O15" s="8" t="s">
        <v>6</v>
      </c>
      <c r="S15" s="30" t="s">
        <v>18</v>
      </c>
      <c r="T15" s="31"/>
      <c r="U15" s="32"/>
    </row>
    <row r="16" spans="1:27" x14ac:dyDescent="0.25">
      <c r="A16" s="2">
        <v>14</v>
      </c>
      <c r="B16" s="3">
        <v>40711</v>
      </c>
      <c r="C16" s="3" t="str">
        <f t="shared" si="0"/>
        <v>2011</v>
      </c>
      <c r="D16" s="2" t="s">
        <v>8</v>
      </c>
      <c r="E16" s="2">
        <v>28</v>
      </c>
      <c r="F16" s="4">
        <v>6160</v>
      </c>
      <c r="H16" s="23" t="s">
        <v>19</v>
      </c>
      <c r="I16" s="14">
        <f>SUM(E3:E26)</f>
        <v>1224</v>
      </c>
      <c r="J16" s="24">
        <f>SUM(F3:F26)</f>
        <v>269280</v>
      </c>
      <c r="L16" s="26" t="s">
        <v>20</v>
      </c>
      <c r="M16" s="14" t="s">
        <v>14</v>
      </c>
      <c r="N16" s="14">
        <f>SUMIF($D$3:$D$26,M16,$E$3:$E$26)</f>
        <v>277</v>
      </c>
      <c r="O16" s="14">
        <f>SUMIF($D$3:$D$26,M16,$F$3:$F$26)</f>
        <v>60940</v>
      </c>
      <c r="R16" s="9" t="s">
        <v>4</v>
      </c>
      <c r="S16" s="10">
        <v>2010</v>
      </c>
      <c r="T16" s="11">
        <v>2011</v>
      </c>
      <c r="U16" s="12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12</v>
      </c>
      <c r="E17" s="2">
        <v>64</v>
      </c>
      <c r="F17" s="4">
        <v>14080</v>
      </c>
      <c r="H17" s="23" t="s">
        <v>21</v>
      </c>
      <c r="I17" s="14">
        <f>MIN(E3:E26)</f>
        <v>24</v>
      </c>
      <c r="J17" s="24">
        <f>MIN(F3:F26)</f>
        <v>5280</v>
      </c>
      <c r="L17" s="27"/>
      <c r="M17" s="14" t="s">
        <v>8</v>
      </c>
      <c r="N17" s="14">
        <f t="shared" ref="N17:N20" si="5">SUMIF($D$3:$D$26,M17,$E$3:$E$26)</f>
        <v>140</v>
      </c>
      <c r="O17" s="14">
        <f t="shared" ref="O17:O20" si="6">SUMIF($D$3:$D$26,M17,$F$3:$F$26)</f>
        <v>30800</v>
      </c>
      <c r="R17" s="16" t="s">
        <v>14</v>
      </c>
      <c r="S17" s="17">
        <f>SUMIFS($E$3:$E$26,$D$3:$D$26,$R17,$C$3:$C$26,S$16)</f>
        <v>56</v>
      </c>
      <c r="T17" s="17">
        <f>SUMIFS($E$3:$E$26,$D$3:$D$26,$R17,$C$3:$C$26,T$16)</f>
        <v>105</v>
      </c>
      <c r="U17" s="17">
        <f>SUMIFS($E$3:$E$26,$D$3:$D$26,$R17,$C$3:$C$26,U$16)</f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14</v>
      </c>
      <c r="E18" s="2">
        <v>51</v>
      </c>
      <c r="F18" s="4">
        <v>11220</v>
      </c>
      <c r="H18" s="23" t="s">
        <v>22</v>
      </c>
      <c r="I18" s="14">
        <f>MAX(E3:E26)</f>
        <v>95</v>
      </c>
      <c r="J18" s="24">
        <f>MAX(F3:F26)</f>
        <v>20900</v>
      </c>
      <c r="L18" s="27"/>
      <c r="M18" s="14" t="s">
        <v>15</v>
      </c>
      <c r="N18" s="14">
        <f t="shared" si="5"/>
        <v>194</v>
      </c>
      <c r="O18" s="14">
        <f t="shared" si="6"/>
        <v>42680</v>
      </c>
      <c r="R18" s="16" t="s">
        <v>8</v>
      </c>
      <c r="S18" s="17">
        <f t="shared" ref="S18:U21" si="7">SUMIFS($E$3:$E$26,$D$3:$D$26,$R18,$C$3:$C$26,S$16)</f>
        <v>76</v>
      </c>
      <c r="T18" s="17">
        <f t="shared" si="7"/>
        <v>28</v>
      </c>
      <c r="U18" s="17">
        <f t="shared" si="7"/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23" t="s">
        <v>23</v>
      </c>
      <c r="I19" s="14">
        <f>AVERAGE(E3:E26)</f>
        <v>51</v>
      </c>
      <c r="J19" s="24">
        <f>AVERAGE(F3:F26)</f>
        <v>11220</v>
      </c>
      <c r="L19" s="27"/>
      <c r="M19" s="14" t="s">
        <v>16</v>
      </c>
      <c r="N19" s="14">
        <f t="shared" si="5"/>
        <v>237</v>
      </c>
      <c r="O19" s="14">
        <f t="shared" si="6"/>
        <v>52140</v>
      </c>
      <c r="R19" s="16" t="s">
        <v>15</v>
      </c>
      <c r="S19" s="17">
        <f t="shared" si="7"/>
        <v>122</v>
      </c>
      <c r="T19" s="17">
        <f t="shared" si="7"/>
        <v>0</v>
      </c>
      <c r="U19" s="17">
        <f t="shared" si="7"/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12</v>
      </c>
      <c r="E20" s="2">
        <v>32</v>
      </c>
      <c r="F20" s="4">
        <v>7040</v>
      </c>
      <c r="H20" s="23" t="s">
        <v>24</v>
      </c>
      <c r="I20" s="14">
        <f>COUNT(E3:E26)</f>
        <v>24</v>
      </c>
      <c r="J20" s="15">
        <f>COUNT(F3:F26)</f>
        <v>24</v>
      </c>
      <c r="L20" s="28"/>
      <c r="M20" s="18" t="s">
        <v>12</v>
      </c>
      <c r="N20" s="14">
        <f t="shared" si="5"/>
        <v>376</v>
      </c>
      <c r="O20" s="14">
        <f t="shared" si="6"/>
        <v>82720</v>
      </c>
      <c r="R20" s="16" t="s">
        <v>16</v>
      </c>
      <c r="S20" s="17">
        <f t="shared" si="7"/>
        <v>90</v>
      </c>
      <c r="T20" s="17">
        <f t="shared" si="7"/>
        <v>95</v>
      </c>
      <c r="U20" s="17">
        <f t="shared" si="7"/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14</v>
      </c>
      <c r="E21" s="2">
        <v>24</v>
      </c>
      <c r="F21" s="4">
        <v>5280</v>
      </c>
      <c r="H21" s="25" t="s">
        <v>25</v>
      </c>
      <c r="I21" s="14">
        <f>COUNTA(E3:E26)</f>
        <v>24</v>
      </c>
      <c r="J21" s="14">
        <f>COUNTA(F3:F26)</f>
        <v>24</v>
      </c>
      <c r="R21" s="19" t="s">
        <v>12</v>
      </c>
      <c r="S21" s="17">
        <f t="shared" si="7"/>
        <v>132</v>
      </c>
      <c r="T21" s="17">
        <f t="shared" si="7"/>
        <v>152</v>
      </c>
      <c r="U21" s="17">
        <f t="shared" si="7"/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S22" s="17"/>
      <c r="T22" s="17"/>
      <c r="U22" s="17"/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14</v>
      </c>
      <c r="E23" s="2">
        <v>41</v>
      </c>
      <c r="F23" s="4">
        <v>9020</v>
      </c>
      <c r="S23" s="17"/>
      <c r="T23" s="17"/>
      <c r="U23" s="17"/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16</v>
      </c>
      <c r="E24" s="2">
        <v>52</v>
      </c>
      <c r="F24" s="4">
        <v>11440</v>
      </c>
      <c r="S24" s="17"/>
      <c r="T24" s="17"/>
      <c r="U24" s="17"/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8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12</v>
      </c>
      <c r="E26" s="2">
        <v>60</v>
      </c>
      <c r="F26" s="4">
        <v>13200</v>
      </c>
    </row>
  </sheetData>
  <mergeCells count="8">
    <mergeCell ref="Y2:AA2"/>
    <mergeCell ref="L16:L20"/>
    <mergeCell ref="A1:F1"/>
    <mergeCell ref="T2:V2"/>
    <mergeCell ref="I3:K3"/>
    <mergeCell ref="N4:N8"/>
    <mergeCell ref="H14:J14"/>
    <mergeCell ref="S15:U15"/>
  </mergeCells>
  <conditionalFormatting sqref="F3:F26">
    <cfRule type="cellIs" dxfId="1" priority="1" operator="lessThan">
      <formula>6000</formula>
    </cfRule>
    <cfRule type="cellIs" dxfId="0" priority="2" operator="greaterThan">
      <formula>15000</formula>
    </cfRule>
  </conditionalFormatting>
  <conditionalFormatting sqref="O4:P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 abdulkareem</dc:creator>
  <cp:lastModifiedBy>arafat abdulkareem</cp:lastModifiedBy>
  <dcterms:created xsi:type="dcterms:W3CDTF">2026-05-02T12:36:21Z</dcterms:created>
  <dcterms:modified xsi:type="dcterms:W3CDTF">2026-05-02T12:49:07Z</dcterms:modified>
</cp:coreProperties>
</file>